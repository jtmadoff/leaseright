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PV Sensitivity" sheetId="2" state="visible" r:id="rId2"/>
    <sheet xmlns:r="http://schemas.openxmlformats.org/officeDocument/2006/relationships" name="Scale to $1M" sheetId="3" state="visible" r:id="rId3"/>
    <sheet xmlns:r="http://schemas.openxmlformats.org/officeDocument/2006/relationships" name="Pilot Fee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24" customWidth="1" min="3" max="3"/>
    <col width="52" customWidth="1" min="4" max="4"/>
    <col width="90" customWidth="1" min="5" max="5"/>
  </cols>
  <sheetData>
    <row r="1">
      <c r="A1" t="inlineStr">
        <is>
          <t>LeaseRight — pilot pricing and payment-volume sensitivity</t>
        </is>
      </c>
    </row>
    <row r="2">
      <c r="A2" t="inlineStr">
        <is>
          <t>Calculated outputs on 'PPV Sensitivity', 'Scale to $1M', and the reconciliation block on 'Sources' are formulas driven by column B of this sheet. 'Pilot Fee' also carries direct inputs of its own: the deliverable hours in C7:C19.</t>
        </is>
      </c>
    </row>
    <row r="3">
      <c r="A3" t="inlineStr">
        <is>
          <t>This workbook sets no pilot price and recommends none. B34 is an empty decision cell for Justin.</t>
        </is>
      </c>
    </row>
    <row r="4">
      <c r="A4" t="inlineStr">
        <is>
          <t>Source document: spec/OVERSEER_MODEL_AND_AGENT_SYNTHESIS.md (as of 2026-09-02). STATED = the synthesis states it. INFERRED = derived by the workbook author and not in the synthesis. NOT STATED = the synthesis leaves it open. See the 'Sources' sheet for the citation behind every seeded cell.</t>
        </is>
      </c>
    </row>
    <row r="6">
      <c r="A6" t="inlineStr">
        <is>
          <t>Input</t>
        </is>
      </c>
      <c r="B6" t="inlineStr">
        <is>
          <t>Value</t>
        </is>
      </c>
      <c r="C6" t="inlineStr">
        <is>
          <t>Unit</t>
        </is>
      </c>
      <c r="D6" t="inlineStr">
        <is>
          <t>Status</t>
        </is>
      </c>
      <c r="E6" t="inlineStr">
        <is>
          <t>Synthesis section</t>
        </is>
      </c>
    </row>
    <row r="7">
      <c r="A7" t="inlineStr">
        <is>
          <t>— Payment-volume base —</t>
        </is>
      </c>
    </row>
    <row r="8">
      <c r="A8" t="inlineStr">
        <is>
          <t>Total units</t>
        </is>
      </c>
      <c r="B8" t="n">
        <v>260</v>
      </c>
      <c r="C8" t="inlineStr">
        <is>
          <t>units</t>
        </is>
      </c>
      <c r="D8" t="inlineStr">
        <is>
          <t>STATED</t>
        </is>
      </c>
      <c r="E8" t="inlineStr">
        <is>
          <t>Definitions that control (L73–L75)</t>
        </is>
      </c>
    </row>
    <row r="9">
      <c r="A9" t="inlineStr">
        <is>
          <t>Average monthly rent</t>
        </is>
      </c>
      <c r="B9" t="n">
        <v>2180</v>
      </c>
      <c r="C9" t="inlineStr">
        <is>
          <t>$/unit/month</t>
        </is>
      </c>
      <c r="D9" t="inlineStr">
        <is>
          <t>STATED</t>
        </is>
      </c>
      <c r="E9" t="inlineStr">
        <is>
          <t>Definitions that control (L73–L75)</t>
        </is>
      </c>
    </row>
    <row r="10">
      <c r="A10" t="inlineStr">
        <is>
          <t>Occupied / collectible rent share</t>
        </is>
      </c>
      <c r="B10" t="n">
        <v>0.95</v>
      </c>
      <c r="C10" t="inlineStr">
        <is>
          <t>share of billed rent</t>
        </is>
      </c>
      <c r="D10" t="inlineStr">
        <is>
          <t>STATED</t>
        </is>
      </c>
      <c r="E10" t="inlineStr">
        <is>
          <t>Definitions that control (L75–L76)</t>
        </is>
      </c>
    </row>
    <row r="11">
      <c r="A11" t="inlineStr">
        <is>
          <t>Payment adoption</t>
        </is>
      </c>
      <c r="B11" t="n">
        <v>0.8</v>
      </c>
      <c r="C11" t="inlineStr">
        <is>
          <t>share of collectible rent</t>
        </is>
      </c>
      <c r="D11" t="inlineStr">
        <is>
          <t>STATED</t>
        </is>
      </c>
      <c r="E11" t="inlineStr">
        <is>
          <t>Definitions that control (L75–L76)</t>
        </is>
      </c>
    </row>
    <row r="12">
      <c r="A12" t="inlineStr">
        <is>
          <t>ACH share of routed volume</t>
        </is>
      </c>
      <c r="C12" t="inlineStr">
        <is>
          <t>share</t>
        </is>
      </c>
      <c r="D12" t="inlineStr">
        <is>
          <t>NOT STATED — Phase A evidence to obtain</t>
        </is>
      </c>
      <c r="E12" t="inlineStr">
        <is>
          <t>Phase A (L328–L330) lists method mix among the evidence to collect; it states no split</t>
        </is>
      </c>
    </row>
    <row r="13">
      <c r="A13" t="inlineStr">
        <is>
          <t>Card share of routed volume</t>
        </is>
      </c>
      <c r="B13">
        <f>IF(B12="","",1-B12)</f>
        <v/>
      </c>
      <c r="C13" t="inlineStr">
        <is>
          <t>share</t>
        </is>
      </c>
      <c r="D13" t="inlineStr">
        <is>
          <t>derived from B12</t>
        </is>
      </c>
      <c r="E13" t="inlineStr">
        <is>
          <t>Adoption design (L157–L158) names ACH and optional card; the complement is arithmetic</t>
        </is>
      </c>
    </row>
    <row r="14">
      <c r="A14" t="inlineStr">
        <is>
          <t>Note on method mix</t>
        </is>
      </c>
      <c r="D14" t="inlineStr">
        <is>
          <t>STATED</t>
        </is>
      </c>
      <c r="E14" t="inlineStr">
        <is>
          <t>Definitions that control (L69–L72): the net take rate is already defined net of all LeaseRight-borne payment costs, divided by PPV, so method mix does not change the revenue math in this workbook</t>
        </is>
      </c>
    </row>
    <row r="16">
      <c r="A16" t="inlineStr">
        <is>
          <t>— Derived payment volume —</t>
        </is>
      </c>
    </row>
    <row r="17">
      <c r="A17" t="inlineStr">
        <is>
          <t>Annual billed rent</t>
        </is>
      </c>
      <c r="B17">
        <f>B8*B9*12</f>
        <v/>
      </c>
      <c r="C17" t="inlineStr">
        <is>
          <t>$/year</t>
        </is>
      </c>
      <c r="D17" t="inlineStr">
        <is>
          <t>computed</t>
        </is>
      </c>
      <c r="E17" t="inlineStr">
        <is>
          <t>Definitions that control (L78)</t>
        </is>
      </c>
    </row>
    <row r="18">
      <c r="A18" t="inlineStr">
        <is>
          <t>Base annual PPV</t>
        </is>
      </c>
      <c r="B18">
        <f>B17*B10*B11</f>
        <v/>
      </c>
      <c r="C18" t="inlineStr">
        <is>
          <t>$/year</t>
        </is>
      </c>
      <c r="D18" t="inlineStr">
        <is>
          <t>computed</t>
        </is>
      </c>
      <c r="E18" t="inlineStr">
        <is>
          <t>Definitions that control (L80)</t>
        </is>
      </c>
    </row>
    <row r="19">
      <c r="A19" t="inlineStr">
        <is>
          <t>PPV per total unit per year</t>
        </is>
      </c>
      <c r="B19">
        <f>IF(B8=0,"",B18/B8)</f>
        <v/>
      </c>
      <c r="C19" t="inlineStr">
        <is>
          <t>$/unit/year</t>
        </is>
      </c>
      <c r="D19" t="inlineStr">
        <is>
          <t>computed</t>
        </is>
      </c>
      <c r="E19" t="inlineStr">
        <is>
          <t>Definitions that control (L81)</t>
        </is>
      </c>
    </row>
    <row r="21">
      <c r="A21" t="inlineStr">
        <is>
          <t>— Net LeaseRight take-rate cases —</t>
        </is>
      </c>
    </row>
    <row r="22">
      <c r="A22" t="inlineStr">
        <is>
          <t>Case 1 — residual downside</t>
        </is>
      </c>
      <c r="B22" t="n">
        <v>5</v>
      </c>
      <c r="C22" t="inlineStr">
        <is>
          <t>bps of PPV</t>
        </is>
      </c>
      <c r="D22" t="inlineStr">
        <is>
          <t>STATED</t>
        </is>
      </c>
      <c r="E22" t="inlineStr">
        <is>
          <t>The answer (L18–L20); What is realistic (L118–L120)</t>
        </is>
      </c>
    </row>
    <row r="23">
      <c r="A23" t="inlineStr">
        <is>
          <t>Case 2 — underwriting screen</t>
        </is>
      </c>
      <c r="B23" t="n">
        <v>10</v>
      </c>
      <c r="C23" t="inlineStr">
        <is>
          <t>bps of PPV</t>
        </is>
      </c>
      <c r="D23" t="inlineStr">
        <is>
          <t>STATED</t>
        </is>
      </c>
      <c r="E23" t="inlineStr">
        <is>
          <t>The answer (L18–L20); What is realistic (L118–L120)</t>
        </is>
      </c>
    </row>
    <row r="24">
      <c r="A24" t="inlineStr">
        <is>
          <t>Case 3 — stretch contract case</t>
        </is>
      </c>
      <c r="B24" t="n">
        <v>25</v>
      </c>
      <c r="C24" t="inlineStr">
        <is>
          <t>bps of PPV</t>
        </is>
      </c>
      <c r="D24" t="inlineStr">
        <is>
          <t>STATED — requires a written contract</t>
        </is>
      </c>
      <c r="E24" t="inlineStr">
        <is>
          <t>The answer (L20–L21); What is realistic (L118–L119)</t>
        </is>
      </c>
    </row>
    <row r="25">
      <c r="A25" t="inlineStr">
        <is>
          <t>Case 4 — 50 bps</t>
        </is>
      </c>
      <c r="B25" t="inlineStr">
        <is>
          <t>NOT MODELLED</t>
        </is>
      </c>
      <c r="C25" t="inlineStr">
        <is>
          <t>—</t>
        </is>
      </c>
      <c r="D25" t="inlineStr">
        <is>
          <t>STATED EXCLUSION</t>
        </is>
      </c>
      <c r="E25" t="inlineStr">
        <is>
          <t>The answer (L21–L23): 'Do not use 50 bps in the plan: no source or proposal supports it.' No 50-bps column exists anywhere in this workbook.</t>
        </is>
      </c>
    </row>
    <row r="26">
      <c r="A26" t="inlineStr">
        <is>
          <t>What-if net take (editable)</t>
        </is>
      </c>
      <c r="B26" t="n">
        <v>10</v>
      </c>
      <c r="C26" t="inlineStr">
        <is>
          <t>bps of PPV</t>
        </is>
      </c>
      <c r="D26" t="inlineStr">
        <is>
          <t>INPUT — scenario cell, set it freely</t>
        </is>
      </c>
      <c r="E26" t="inlineStr">
        <is>
          <t>No synthesis figure. Seeded at the stated 10-bps screen so the what-if column opens on the screen case (INFERRED seed).</t>
        </is>
      </c>
    </row>
    <row r="28">
      <c r="A28" t="inlineStr">
        <is>
          <t>— Scale target —</t>
        </is>
      </c>
    </row>
    <row r="29">
      <c r="A29" t="inlineStr">
        <is>
          <t>Annual net payment revenue target</t>
        </is>
      </c>
      <c r="B29" t="n">
        <v>1000000</v>
      </c>
      <c r="C29" t="inlineStr">
        <is>
          <t>$/year</t>
        </is>
      </c>
      <c r="D29" t="inlineStr">
        <is>
          <t>STATED</t>
        </is>
      </c>
      <c r="E29" t="inlineStr">
        <is>
          <t>The answer (L30–L31)</t>
        </is>
      </c>
    </row>
    <row r="30">
      <c r="A30" t="inlineStr">
        <is>
          <t>Secondary target multiple</t>
        </is>
      </c>
      <c r="B30" t="n">
        <v>5</v>
      </c>
      <c r="C30" t="inlineStr">
        <is>
          <t>×</t>
        </is>
      </c>
      <c r="D30" t="inlineStr">
        <is>
          <t>STATED</t>
        </is>
      </c>
      <c r="E30" t="inlineStr">
        <is>
          <t>Definitions that control (L90)</t>
        </is>
      </c>
    </row>
    <row r="31">
      <c r="A31" t="inlineStr">
        <is>
          <t>Units per comparable asset</t>
        </is>
      </c>
      <c r="B31">
        <f>B8</f>
        <v/>
      </c>
      <c r="C31" t="inlineStr">
        <is>
          <t>units</t>
        </is>
      </c>
      <c r="D31" t="inlineStr">
        <is>
          <t>STATED</t>
        </is>
      </c>
      <c r="E31" t="inlineStr">
        <is>
          <t>Definitions that control (L84–L88), '260-unit assets for $1M' column</t>
        </is>
      </c>
    </row>
    <row r="33">
      <c r="A33" t="inlineStr">
        <is>
          <t>— Pilot engagement (Justin's decision inputs) —</t>
        </is>
      </c>
    </row>
    <row r="34">
      <c r="A34" t="inlineStr">
        <is>
          <t>Pilot fee (fixed, upfront)</t>
        </is>
      </c>
      <c r="C34" t="inlineStr">
        <is>
          <t>$</t>
        </is>
      </c>
      <c r="D34" t="inlineStr">
        <is>
          <t>DECISION — deliberately empty; this workbook sets no price and recommends none</t>
        </is>
      </c>
      <c r="E34" t="inlineStr">
        <is>
          <t>Commercial gate (L301–L319); Only decisions Justin must make now (L533–L541)</t>
        </is>
      </c>
    </row>
    <row r="35">
      <c r="A35" t="inlineStr">
        <is>
          <t>Five-figure band — low</t>
        </is>
      </c>
      <c r="B35" t="n">
        <v>10000</v>
      </c>
      <c r="C35" t="inlineStr">
        <is>
          <t>$</t>
        </is>
      </c>
      <c r="D35" t="inlineStr">
        <is>
          <t>INFERRED — the synthesis says 'five-figure' in words and states no numbers</t>
        </is>
      </c>
      <c r="E35" t="inlineStr">
        <is>
          <t>The answer (L44); Commercial gate (L301); Only decisions (L533)</t>
        </is>
      </c>
    </row>
    <row r="36">
      <c r="A36" t="inlineStr">
        <is>
          <t>Five-figure band — high</t>
        </is>
      </c>
      <c r="B36" t="n">
        <v>99999</v>
      </c>
      <c r="C36" t="inlineStr">
        <is>
          <t>$</t>
        </is>
      </c>
      <c r="D36" t="inlineStr">
        <is>
          <t>INFERRED — the synthesis says 'five-figure' in words and states no numbers</t>
        </is>
      </c>
      <c r="E36" t="inlineStr">
        <is>
          <t>The answer (L44); Commercial gate (L301); Only decisions (L533)</t>
        </is>
      </c>
    </row>
    <row r="37">
      <c r="A37" t="inlineStr">
        <is>
          <t>Project-fee reference used in the synthesis</t>
        </is>
      </c>
      <c r="B37" t="n">
        <v>25000</v>
      </c>
      <c r="C37" t="inlineStr">
        <is>
          <t>$</t>
        </is>
      </c>
      <c r="D37" t="inlineStr">
        <is>
          <t>STATED — a crossover reference in the retention table, not a recommended price</t>
        </is>
      </c>
      <c r="E37" t="inlineStr">
        <is>
          <t>Retention and acquisition economics (L132–L141)</t>
        </is>
      </c>
    </row>
    <row r="38">
      <c r="A38" t="inlineStr">
        <is>
          <t>Blended delivery rate</t>
        </is>
      </c>
      <c r="C38" t="inlineStr">
        <is>
          <t>$/hour</t>
        </is>
      </c>
      <c r="D38" t="inlineStr">
        <is>
          <t>NOT STATED — Justin's estimate</t>
        </is>
      </c>
      <c r="E38" t="inlineStr">
        <is>
          <t>The synthesis states no rate; left empty rather than guessed</t>
        </is>
      </c>
    </row>
    <row r="39">
      <c r="A39" t="inlineStr">
        <is>
          <t>Phase A duration</t>
        </is>
      </c>
      <c r="C39" t="inlineStr">
        <is>
          <t>months</t>
        </is>
      </c>
      <c r="D39" t="inlineStr">
        <is>
          <t>NOT STATED — Justin's estimate</t>
        </is>
      </c>
      <c r="E39" t="inlineStr">
        <is>
          <t>Phase A (L321–L347) is scoped by deliverables; no duration is stated</t>
        </is>
      </c>
    </row>
    <row r="40">
      <c r="A40" t="inlineStr">
        <is>
          <t>Phase B duration</t>
        </is>
      </c>
      <c r="B40" t="n">
        <v>2</v>
      </c>
      <c r="C40" t="inlineStr">
        <is>
          <t>months</t>
        </is>
      </c>
      <c r="D40" t="inlineStr">
        <is>
          <t>INFERRED from a stated duration</t>
        </is>
      </c>
      <c r="E40" t="inlineStr">
        <is>
          <t>Phase B — conditional 60-day operating test (L349). 60 days entered as 2 months is the workbook author's conversion.</t>
        </is>
      </c>
    </row>
    <row r="41">
      <c r="A41" t="inlineStr">
        <is>
          <t>Total delivery months</t>
        </is>
      </c>
      <c r="B41">
        <f>IF(B39="","",B39+B40)</f>
        <v/>
      </c>
      <c r="C41" t="inlineStr">
        <is>
          <t>months</t>
        </is>
      </c>
      <c r="D41" t="inlineStr">
        <is>
          <t>computed</t>
        </is>
      </c>
      <c r="E41" t="inlineStr">
        <is>
          <t>—</t>
        </is>
      </c>
    </row>
    <row r="42">
      <c r="A42" t="inlineStr">
        <is>
          <t>Project band — low unit count</t>
        </is>
      </c>
      <c r="B42" t="n">
        <v>100</v>
      </c>
      <c r="C42" t="inlineStr">
        <is>
          <t>units</t>
        </is>
      </c>
      <c r="D42" t="inlineStr">
        <is>
          <t>STATED</t>
        </is>
      </c>
      <c r="E42" t="inlineStr">
        <is>
          <t>Commercial gate (L303)</t>
        </is>
      </c>
    </row>
    <row r="43">
      <c r="A43" t="inlineStr">
        <is>
          <t>Project band — high unit count</t>
        </is>
      </c>
      <c r="B43" t="n">
        <v>400</v>
      </c>
      <c r="C43" t="inlineStr">
        <is>
          <t>units</t>
        </is>
      </c>
      <c r="D43" t="inlineStr">
        <is>
          <t>STATED</t>
        </is>
      </c>
      <c r="E43" t="inlineStr">
        <is>
          <t>Commercial gate (L303)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8" customWidth="1" min="4" max="4"/>
    <col width="28" customWidth="1" min="5" max="5"/>
    <col width="28" customWidth="1" min="6" max="6"/>
    <col width="28" customWidth="1" min="7" max="7"/>
    <col width="34" customWidth="1" min="8" max="8"/>
    <col width="56" customWidth="1" min="9" max="9"/>
  </cols>
  <sheetData>
    <row r="1">
      <c r="A1" t="inlineStr">
        <is>
          <t>PPV sensitivity — annual net payment revenue across unit count and net take rate</t>
        </is>
      </c>
    </row>
    <row r="2">
      <c r="A2" t="inlineStr">
        <is>
          <t>Annual net payment revenue = annual PPV × net bps ÷ 10,000. Every figure below is a formula off the 'Inputs' sheet; change Inputs!B8 (units), B9 (rent), B10, B11, or any bps cell and this grid moves.</t>
        </is>
      </c>
    </row>
    <row r="3">
      <c r="A3" t="inlineStr">
        <is>
          <t>50 bps is not modelled. Synthesis, The answer (L21–L23): 'Do not use 50 bps in the plan: no source or proposal supports it, and it would exceed the per-unit revenue of AppFolio's entire bundled value-added-services line on these rent assumptions.'</t>
        </is>
      </c>
    </row>
    <row r="4">
      <c r="A4" t="inlineStr">
        <is>
          <t>Net take (bps of PPV) →</t>
        </is>
      </c>
      <c r="D4">
        <f>Inputs!$B$22</f>
        <v/>
      </c>
      <c r="E4">
        <f>Inputs!$B$23</f>
        <v/>
      </c>
      <c r="F4">
        <f>Inputs!$B$24</f>
        <v/>
      </c>
      <c r="G4">
        <f>Inputs!$B$26</f>
        <v/>
      </c>
    </row>
    <row r="5">
      <c r="A5" t="inlineStr">
        <is>
          <t>Total units</t>
        </is>
      </c>
      <c r="B5" t="inlineStr">
        <is>
          <t>Annual billed rent ($)</t>
        </is>
      </c>
      <c r="C5" t="inlineStr">
        <is>
          <t>Annual PPV ($)</t>
        </is>
      </c>
      <c r="D5">
        <f>"Net revenue @ "&amp;Inputs!$B$22&amp;" bps — downside ($)"</f>
        <v/>
      </c>
      <c r="E5">
        <f>"Net revenue @ "&amp;Inputs!$B$23&amp;" bps — screen ($)"</f>
        <v/>
      </c>
      <c r="F5">
        <f>"Net revenue @ "&amp;Inputs!$B$24&amp;" bps — stretch ($)"</f>
        <v/>
      </c>
      <c r="G5">
        <f>"Net revenue @ what-if "&amp;Inputs!$B$26&amp;" bps ($)"</f>
        <v/>
      </c>
      <c r="H5">
        <f>"Net revenue / total unit / month @ "&amp;Inputs!$B$23&amp;" bps ($)"</f>
        <v/>
      </c>
      <c r="I5" t="inlineStr">
        <is>
          <t>Row basis</t>
        </is>
      </c>
    </row>
    <row r="6">
      <c r="A6">
        <f>Inputs!$B$42</f>
        <v/>
      </c>
      <c r="B6">
        <f>IF($A6="","",$A6*Inputs!$B$9*12)</f>
        <v/>
      </c>
      <c r="C6">
        <f>IF($B6="","",$B6*Inputs!$B$10*Inputs!$B$11)</f>
        <v/>
      </c>
      <c r="D6">
        <f>IF($C6="","",$C6*Inputs!$B$22/10000)</f>
        <v/>
      </c>
      <c r="E6">
        <f>IF($C6="","",$C6*Inputs!$B$23/10000)</f>
        <v/>
      </c>
      <c r="F6">
        <f>IF($C6="","",$C6*Inputs!$B$24/10000)</f>
        <v/>
      </c>
      <c r="G6">
        <f>IF($C6="","",$C6*Inputs!$B$26/10000)</f>
        <v/>
      </c>
      <c r="H6">
        <f>IF(OR($A6="",$A6=0),"",$E6/$A6/12)</f>
        <v/>
      </c>
      <c r="I6" t="inlineStr">
        <is>
          <t>Project band — low (STATED, Commercial gate L303)</t>
        </is>
      </c>
    </row>
    <row r="7">
      <c r="A7">
        <f>Inputs!$B$8</f>
        <v/>
      </c>
      <c r="B7">
        <f>IF($A7="","",$A7*Inputs!$B$9*12)</f>
        <v/>
      </c>
      <c r="C7">
        <f>IF($B7="","",$B7*Inputs!$B$10*Inputs!$B$11)</f>
        <v/>
      </c>
      <c r="D7">
        <f>IF($C7="","",$C7*Inputs!$B$22/10000)</f>
        <v/>
      </c>
      <c r="E7">
        <f>IF($C7="","",$C7*Inputs!$B$23/10000)</f>
        <v/>
      </c>
      <c r="F7">
        <f>IF($C7="","",$C7*Inputs!$B$24/10000)</f>
        <v/>
      </c>
      <c r="G7">
        <f>IF($C7="","",$C7*Inputs!$B$26/10000)</f>
        <v/>
      </c>
      <c r="H7">
        <f>IF(OR($A7="",$A7=0),"",$E7/$A7/12)</f>
        <v/>
      </c>
      <c r="I7" t="inlineStr">
        <is>
          <t>Base stabilized asset (STATED, Definitions that control L73–L75)</t>
        </is>
      </c>
    </row>
    <row r="8">
      <c r="A8">
        <f>Inputs!$B$43</f>
        <v/>
      </c>
      <c r="B8">
        <f>IF($A8="","",$A8*Inputs!$B$9*12)</f>
        <v/>
      </c>
      <c r="C8">
        <f>IF($B8="","",$B8*Inputs!$B$10*Inputs!$B$11)</f>
        <v/>
      </c>
      <c r="D8">
        <f>IF($C8="","",$C8*Inputs!$B$22/10000)</f>
        <v/>
      </c>
      <c r="E8">
        <f>IF($C8="","",$C8*Inputs!$B$23/10000)</f>
        <v/>
      </c>
      <c r="F8">
        <f>IF($C8="","",$C8*Inputs!$B$24/10000)</f>
        <v/>
      </c>
      <c r="G8">
        <f>IF($C8="","",$C8*Inputs!$B$26/10000)</f>
        <v/>
      </c>
      <c r="H8">
        <f>IF(OR($A8="",$A8=0),"",$E8/$A8/12)</f>
        <v/>
      </c>
      <c r="I8" t="inlineStr">
        <is>
          <t>Project band — high (STATED, Commercial gate L303)</t>
        </is>
      </c>
    </row>
    <row r="9">
      <c r="A9">
        <f>Inputs!$B$8*10</f>
        <v/>
      </c>
      <c r="B9">
        <f>IF($A9="","",$A9*Inputs!$B$9*12)</f>
        <v/>
      </c>
      <c r="C9">
        <f>IF($B9="","",$B9*Inputs!$B$10*Inputs!$B$11)</f>
        <v/>
      </c>
      <c r="D9">
        <f>IF($C9="","",$C9*Inputs!$B$22/10000)</f>
        <v/>
      </c>
      <c r="E9">
        <f>IF($C9="","",$C9*Inputs!$B$23/10000)</f>
        <v/>
      </c>
      <c r="F9">
        <f>IF($C9="","",$C9*Inputs!$B$24/10000)</f>
        <v/>
      </c>
      <c r="G9">
        <f>IF($C9="","",$C9*Inputs!$B$26/10000)</f>
        <v/>
      </c>
      <c r="H9">
        <f>IF(OR($A9="",$A9=0),"",$E9/$A9/12)</f>
        <v/>
      </c>
      <c r="I9" t="inlineStr">
        <is>
          <t>10 × base asset (grid step, INFERRED)</t>
        </is>
      </c>
    </row>
    <row r="10">
      <c r="A10">
        <f>Inputs!$B$8*50</f>
        <v/>
      </c>
      <c r="B10">
        <f>IF($A10="","",$A10*Inputs!$B$9*12)</f>
        <v/>
      </c>
      <c r="C10">
        <f>IF($B10="","",$B10*Inputs!$B$10*Inputs!$B$11)</f>
        <v/>
      </c>
      <c r="D10">
        <f>IF($C10="","",$C10*Inputs!$B$22/10000)</f>
        <v/>
      </c>
      <c r="E10">
        <f>IF($C10="","",$C10*Inputs!$B$23/10000)</f>
        <v/>
      </c>
      <c r="F10">
        <f>IF($C10="","",$C10*Inputs!$B$24/10000)</f>
        <v/>
      </c>
      <c r="G10">
        <f>IF($C10="","",$C10*Inputs!$B$26/10000)</f>
        <v/>
      </c>
      <c r="H10">
        <f>IF(OR($A10="",$A10=0),"",$E10/$A10/12)</f>
        <v/>
      </c>
      <c r="I10" t="inlineStr">
        <is>
          <t>50 × base asset (grid step, INFERRED)</t>
        </is>
      </c>
    </row>
    <row r="11">
      <c r="A11">
        <f>Inputs!$B$8*100</f>
        <v/>
      </c>
      <c r="B11">
        <f>IF($A11="","",$A11*Inputs!$B$9*12)</f>
        <v/>
      </c>
      <c r="C11">
        <f>IF($B11="","",$B11*Inputs!$B$10*Inputs!$B$11)</f>
        <v/>
      </c>
      <c r="D11">
        <f>IF($C11="","",$C11*Inputs!$B$22/10000)</f>
        <v/>
      </c>
      <c r="E11">
        <f>IF($C11="","",$C11*Inputs!$B$23/10000)</f>
        <v/>
      </c>
      <c r="F11">
        <f>IF($C11="","",$C11*Inputs!$B$24/10000)</f>
        <v/>
      </c>
      <c r="G11">
        <f>IF($C11="","",$C11*Inputs!$B$26/10000)</f>
        <v/>
      </c>
      <c r="H11">
        <f>IF(OR($A11="",$A11=0),"",$E11/$A11/12)</f>
        <v/>
      </c>
      <c r="I11" t="inlineStr">
        <is>
          <t>100 × base asset (grid step, INFERRED)</t>
        </is>
      </c>
    </row>
    <row r="12">
      <c r="A12">
        <f>Inputs!$B$8*200</f>
        <v/>
      </c>
      <c r="B12">
        <f>IF($A12="","",$A12*Inputs!$B$9*12)</f>
        <v/>
      </c>
      <c r="C12">
        <f>IF($B12="","",$B12*Inputs!$B$10*Inputs!$B$11)</f>
        <v/>
      </c>
      <c r="D12">
        <f>IF($C12="","",$C12*Inputs!$B$22/10000)</f>
        <v/>
      </c>
      <c r="E12">
        <f>IF($C12="","",$C12*Inputs!$B$23/10000)</f>
        <v/>
      </c>
      <c r="F12">
        <f>IF($C12="","",$C12*Inputs!$B$24/10000)</f>
        <v/>
      </c>
      <c r="G12">
        <f>IF($C12="","",$C12*Inputs!$B$26/10000)</f>
        <v/>
      </c>
      <c r="H12">
        <f>IF(OR($A12="",$A12=0),"",$E12/$A12/12)</f>
        <v/>
      </c>
      <c r="I12" t="inlineStr">
        <is>
          <t>200 × base asset (grid step, INFERRED)</t>
        </is>
      </c>
    </row>
    <row r="13">
      <c r="A13">
        <f>Inputs!$B$8*400</f>
        <v/>
      </c>
      <c r="B13">
        <f>IF($A13="","",$A13*Inputs!$B$9*12)</f>
        <v/>
      </c>
      <c r="C13">
        <f>IF($B13="","",$B13*Inputs!$B$10*Inputs!$B$11)</f>
        <v/>
      </c>
      <c r="D13">
        <f>IF($C13="","",$C13*Inputs!$B$22/10000)</f>
        <v/>
      </c>
      <c r="E13">
        <f>IF($C13="","",$C13*Inputs!$B$23/10000)</f>
        <v/>
      </c>
      <c r="F13">
        <f>IF($C13="","",$C13*Inputs!$B$24/10000)</f>
        <v/>
      </c>
      <c r="G13">
        <f>IF($C13="","",$C13*Inputs!$B$26/10000)</f>
        <v/>
      </c>
      <c r="H13">
        <f>IF(OR($A13="",$A13=0),"",$E13/$A13/12)</f>
        <v/>
      </c>
      <c r="I13" t="inlineStr">
        <is>
          <t>400 × base asset (grid step, INFERRED) — brackets the stated 50K–101K units</t>
        </is>
      </c>
    </row>
    <row r="15">
      <c r="A15" t="inlineStr">
        <is>
          <t>Row 7 is the synthesis base case. It reproduces $6,801,600 of annual billed rent and $5,169,216 of annual PPV exactly, and $2,584.61 / $5,169.22 / $12,923.04 of annual net revenue at 5 / 10 / 25 bps and $1.6568 per total unit per month at the 10-bps screen against the synthesis's display-rounded $2,585 / $5,169 / $12,923 and $1.66 (Definitions that control, L78–L88). The 'Sources' sheet carries the live reconciliation of each of those figures, with the rounding difference shown rather than hidden.</t>
        </is>
      </c>
    </row>
    <row r="16">
      <c r="A16" t="inlineStr">
        <is>
          <t>Unit-ladder rows 9–13 are INFERRED grid steps. The synthesis states no unit ladder; these multiples were chosen to bracket its stated 50K–101K unit requirement and are formulas off Inputs!B8, so they move with the base asset.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26" customWidth="1" min="5" max="5"/>
  </cols>
  <sheetData>
    <row r="1">
      <c r="A1" t="inlineStr">
        <is>
          <t>Scale to $1M of annual net payment revenue</t>
        </is>
      </c>
    </row>
    <row r="2">
      <c r="A2" t="inlineStr">
        <is>
          <t>Target = Inputs!B29. Secondary target = target × Inputs!B30. Comparable asset size = Inputs!B31 units. Every figure below is a formula off 'Inputs'.</t>
        </is>
      </c>
    </row>
    <row r="3">
      <c r="A3" t="inlineStr">
        <is>
          <t>Synthesis, The answer (L30–L31): 'Reaching $1M of annual net payment revenue requires about $1B–$2B of PPV, or roughly 50K–101K comparable total units.'</t>
        </is>
      </c>
    </row>
    <row r="4">
      <c r="A4" t="inlineStr">
        <is>
          <t>Requirement</t>
        </is>
      </c>
      <c r="B4">
        <f>"@ "&amp;Inputs!$B$22&amp;" bps — residual downside"</f>
        <v/>
      </c>
      <c r="C4">
        <f>"@ "&amp;Inputs!$B$23&amp;" bps — underwriting screen"</f>
        <v/>
      </c>
      <c r="D4">
        <f>"@ "&amp;Inputs!$B$24&amp;" bps — stretch contract case"</f>
        <v/>
      </c>
      <c r="E4">
        <f>"@ what-if "&amp;Inputs!$B$26&amp;" bps"</f>
        <v/>
      </c>
    </row>
    <row r="5">
      <c r="A5" t="inlineStr">
        <is>
          <t>Net take (bps of PPV)</t>
        </is>
      </c>
      <c r="B5">
        <f>Inputs!$B$22</f>
        <v/>
      </c>
      <c r="C5">
        <f>Inputs!$B$23</f>
        <v/>
      </c>
      <c r="D5">
        <f>Inputs!$B$24</f>
        <v/>
      </c>
      <c r="E5">
        <f>Inputs!$B$26</f>
        <v/>
      </c>
    </row>
    <row r="6">
      <c r="A6" t="inlineStr">
        <is>
          <t>PPV required for the target ($)</t>
        </is>
      </c>
      <c r="B6">
        <f>IF(B$5="","",Inputs!$B$29/(B$5/10000))</f>
        <v/>
      </c>
      <c r="C6">
        <f>IF(C$5="","",Inputs!$B$29/(C$5/10000))</f>
        <v/>
      </c>
      <c r="D6">
        <f>IF(D$5="","",Inputs!$B$29/(D$5/10000))</f>
        <v/>
      </c>
      <c r="E6">
        <f>IF(E$5="","",Inputs!$B$29/(E$5/10000))</f>
        <v/>
      </c>
    </row>
    <row r="7">
      <c r="A7" t="inlineStr">
        <is>
          <t>Total units required (at Inputs!B19 PPV per total unit per year)</t>
        </is>
      </c>
      <c r="B7">
        <f>IF(OR(B$6="",Inputs!$B$19=""),"",B$6/Inputs!$B$19)</f>
        <v/>
      </c>
      <c r="C7">
        <f>IF(OR(C$6="",Inputs!$B$19=""),"",C$6/Inputs!$B$19)</f>
        <v/>
      </c>
      <c r="D7">
        <f>IF(OR(D$6="",Inputs!$B$19=""),"",D$6/Inputs!$B$19)</f>
        <v/>
      </c>
      <c r="E7">
        <f>IF(OR(E$6="",Inputs!$B$19=""),"",E$6/Inputs!$B$19)</f>
        <v/>
      </c>
    </row>
    <row r="8">
      <c r="A8" t="inlineStr">
        <is>
          <t>Comparable assets required (Inputs!B31 units each)</t>
        </is>
      </c>
      <c r="B8">
        <f>IF(B$7="","",ROUNDUP(B$7/Inputs!$B$31,0))</f>
        <v/>
      </c>
      <c r="C8">
        <f>IF(C$7="","",ROUNDUP(C$7/Inputs!$B$31,0))</f>
        <v/>
      </c>
      <c r="D8">
        <f>IF(D$7="","",ROUNDUP(D$7/Inputs!$B$31,0))</f>
        <v/>
      </c>
      <c r="E8">
        <f>IF(E$7="","",ROUNDUP(E$7/Inputs!$B$31,0))</f>
        <v/>
      </c>
    </row>
    <row r="9">
      <c r="A9" t="inlineStr">
        <is>
          <t>PPV required for the secondary target ($)</t>
        </is>
      </c>
      <c r="B9">
        <f>IF(B$6="","",B$6*Inputs!$B$30)</f>
        <v/>
      </c>
      <c r="C9">
        <f>IF(C$6="","",C$6*Inputs!$B$30)</f>
        <v/>
      </c>
      <c r="D9">
        <f>IF(D$6="","",D$6*Inputs!$B$30)</f>
        <v/>
      </c>
      <c r="E9">
        <f>IF(E$6="","",E$6*Inputs!$B$30)</f>
        <v/>
      </c>
    </row>
    <row r="10">
      <c r="A10" t="inlineStr">
        <is>
          <t>Total units required for the secondary target</t>
        </is>
      </c>
      <c r="B10">
        <f>IF(B$7="","",B$7*Inputs!$B$30)</f>
        <v/>
      </c>
      <c r="C10">
        <f>IF(C$7="","",C$7*Inputs!$B$30)</f>
        <v/>
      </c>
      <c r="D10">
        <f>IF(D$7="","",D$7*Inputs!$B$30)</f>
        <v/>
      </c>
      <c r="E10">
        <f>IF(E$7="","",E$7*Inputs!$B$30)</f>
        <v/>
      </c>
    </row>
    <row r="11">
      <c r="A11" t="inlineStr">
        <is>
          <t>Comparable assets for the secondary target</t>
        </is>
      </c>
      <c r="B11">
        <f>IF(B$10="","",ROUNDUP(B$10/Inputs!$B$31,0))</f>
        <v/>
      </c>
      <c r="C11">
        <f>IF(C$10="","",ROUNDUP(C$10/Inputs!$B$31,0))</f>
        <v/>
      </c>
      <c r="D11">
        <f>IF(D$10="","",ROUNDUP(D$10/Inputs!$B$31,0))</f>
        <v/>
      </c>
      <c r="E11">
        <f>IF(E$10="","",ROUNDUP(E$10/Inputs!$B$31,0))</f>
        <v/>
      </c>
    </row>
    <row r="13">
      <c r="A13" t="inlineStr">
        <is>
          <t>Rows 9–11 apply the stated instruction: 'For $5M of annual net payment revenue, multiply every PPV, unit, and asset requirement by five.' (Definitions that control, L90)</t>
        </is>
      </c>
    </row>
    <row r="14">
      <c r="A14" t="inlineStr">
        <is>
          <t>No 50-bps column exists here, by instruction of the synthesis (The answer, L21–L23).</t>
        </is>
      </c>
    </row>
    <row r="15">
      <c r="A15" t="inlineStr">
        <is>
          <t>These requirements move when Inputs!B8, B9, B10, B11 or any bps cell changes, because Inputs!B19 (PPV per total unit per year) drives the unit and asset 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4" customWidth="1" min="2" max="2"/>
    <col width="20" customWidth="1" min="3" max="3"/>
    <col width="24" customWidth="1" min="4" max="4"/>
    <col width="20" customWidth="1" min="5" max="5"/>
    <col width="48" customWidth="1" min="6" max="6"/>
  </cols>
  <sheetData>
    <row r="1">
      <c r="A1" t="inlineStr">
        <is>
          <t>Pilot fee — deliverable build-up for the fixed, upfront, stage-gated engagement</t>
        </is>
      </c>
    </row>
    <row r="2">
      <c r="A2" t="inlineStr">
        <is>
          <t>This workbook sets no price and recommends none. The fee is an input: Inputs!B34, currently empty. The rows below scope what the fee must cover, transcribed from the synthesis. The hours in column C and the blended rate in Inputs!B38 are Justin's estimates, not figures from the synthesis.</t>
        </is>
      </c>
    </row>
    <row r="3">
      <c r="A3" t="inlineStr">
        <is>
          <t>Synthesis, Commercial gate (L315–L317): 'The fixed fee covers the Model calibration, frozen launch baseline, weekly variance output, payment diligence, and the conditional operating test.' Remaining risks (L518): 'the first fixed fee must therefore be scoped from deliverables and project band.'</t>
        </is>
      </c>
    </row>
    <row r="5">
      <c r="A5" t="inlineStr">
        <is>
          <t>Stage</t>
        </is>
      </c>
      <c r="B5" t="inlineStr">
        <is>
          <t>Scoped deliverable (transcribed from the synthesis)</t>
        </is>
      </c>
      <c r="C5" t="inlineStr">
        <is>
          <t>Hours (input — empty)</t>
        </is>
      </c>
      <c r="D5" t="inlineStr">
        <is>
          <t>Blended rate ($/hr, Inputs!B38)</t>
        </is>
      </c>
      <c r="E5" t="inlineStr">
        <is>
          <t>Cost ($)</t>
        </is>
      </c>
      <c r="F5" t="inlineStr">
        <is>
          <t>Synthesis section</t>
        </is>
      </c>
    </row>
    <row r="7">
      <c r="A7" t="inlineStr">
        <is>
          <t>Commercial gate</t>
        </is>
      </c>
      <c r="B7" t="inlineStr">
        <is>
          <t>Signed fixed-fee scope for one real 100–400-unit lease-up in one launch market, with the upfront payment collected</t>
        </is>
      </c>
      <c r="D7">
        <f>IF(Inputs!$B$38="","",Inputs!$B$38)</f>
        <v/>
      </c>
      <c r="E7">
        <f>IF(OR($C7="",Inputs!$B$38=""),"",$C7*Inputs!$B$38)</f>
        <v/>
      </c>
      <c r="F7" t="inlineStr">
        <is>
          <t>Commercial gate (L303–L318)</t>
        </is>
      </c>
    </row>
    <row r="8">
      <c r="A8" t="inlineStr">
        <is>
          <t>Commercial gate</t>
        </is>
      </c>
      <c r="B8" t="inlineStr">
        <is>
          <t>Counsel-drafted continuity term sheet: assignment or commercially reasonable assignment efforts on sale, payment-path continuity or a right to bid on a successor PM, right of first refusal on payment processing at stabilization, and disclosure of lender cash-management provisions</t>
        </is>
      </c>
      <c r="D8">
        <f>IF(Inputs!$B$38="","",Inputs!$B$38)</f>
        <v/>
      </c>
      <c r="E8">
        <f>IF(OR($C8="",Inputs!$B$38=""),"",$C8*Inputs!$B$38)</f>
        <v/>
      </c>
      <c r="F8" t="inlineStr">
        <is>
          <t>Commercial gate (L308–L314)</t>
        </is>
      </c>
    </row>
    <row r="9">
      <c r="A9" t="inlineStr">
        <is>
          <t>Phase A</t>
        </is>
      </c>
      <c r="B9" t="inlineStr">
        <is>
          <t>Pilot Model rebuilt from the sponsor's source underwriting and operating records</t>
        </is>
      </c>
      <c r="D9">
        <f>IF(Inputs!$B$38="","",Inputs!$B$38)</f>
        <v/>
      </c>
      <c r="E9">
        <f>IF(OR($C9="",Inputs!$B$38=""),"",$C9*Inputs!$B$38)</f>
        <v/>
      </c>
      <c r="F9" t="inlineStr">
        <is>
          <t>Phase A (L323–L325)</t>
        </is>
      </c>
    </row>
    <row r="10">
      <c r="A10" t="inlineStr">
        <is>
          <t>Phase A</t>
        </is>
      </c>
      <c r="B10" t="inlineStr">
        <is>
          <t>One agreed delivery schedule, stabilization definition, lease count, velocity convention, carry rate, concession method, and scenario formula, with every displayed date and cost derived from those inputs</t>
        </is>
      </c>
      <c r="D10">
        <f>IF(Inputs!$B$38="","",Inputs!$B$38)</f>
        <v/>
      </c>
      <c r="E10">
        <f>IF(OR($C10="",Inputs!$B$38=""),"",$C10*Inputs!$B$38)</f>
        <v/>
      </c>
      <c r="F10" t="inlineStr">
        <is>
          <t>Phase A (L324–L326)</t>
        </is>
      </c>
    </row>
    <row r="11">
      <c r="A11" t="inlineStr">
        <is>
          <t>Phase A</t>
        </is>
      </c>
      <c r="B11" t="inlineStr">
        <is>
          <t>Frozen agreed baseline before live operations, plus the weekly variance output</t>
        </is>
      </c>
      <c r="D11">
        <f>IF(Inputs!$B$38="","",Inputs!$B$38)</f>
        <v/>
      </c>
      <c r="E11">
        <f>IF(OR($C11="",Inputs!$B$38=""),"",$C11*Inputs!$B$38)</f>
        <v/>
      </c>
      <c r="F11" t="inlineStr">
        <is>
          <t>Phase A (L326); Commercial gate (L315–L316)</t>
        </is>
      </c>
    </row>
    <row r="12">
      <c r="A12" t="inlineStr">
        <is>
          <t>Phase A</t>
        </is>
      </c>
      <c r="B12" t="inlineStr">
        <is>
          <t>Payment diligence pack: 12 months of rent rolls and processor statements where available, method mix, fee payer, returns, disputes and failed payments, settlement timing, and reconciliation labour</t>
        </is>
      </c>
      <c r="D12">
        <f>IF(Inputs!$B$38="","",Inputs!$B$38)</f>
        <v/>
      </c>
      <c r="E12">
        <f>IF(OR($C12="",Inputs!$B$38=""),"",$C12*Inputs!$B$38)</f>
        <v/>
      </c>
      <c r="F12" t="inlineStr">
        <is>
          <t>Phase A (L328–L331)</t>
        </is>
      </c>
    </row>
    <row r="13">
      <c r="A13" t="inlineStr">
        <is>
          <t>Phase A</t>
        </is>
      </c>
      <c r="B13" t="inlineStr">
        <is>
          <t>Contract and lender review: current PM/PMS/processor contracts and termination rights, lender lockbox/DACA requirements, and the expected post-stabilization owner/manager</t>
        </is>
      </c>
      <c r="D13">
        <f>IF(Inputs!$B$38="","",Inputs!$B$38)</f>
        <v/>
      </c>
      <c r="E13">
        <f>IF(OR($C13="",Inputs!$B$38=""),"",$C13*Inputs!$B$38)</f>
        <v/>
      </c>
      <c r="F13" t="inlineStr">
        <is>
          <t>Phase A (L331–L333)</t>
        </is>
      </c>
    </row>
    <row r="14">
      <c r="A14" t="inlineStr">
        <is>
          <t>Phase A</t>
        </is>
      </c>
      <c r="B14" t="inlineStr">
        <is>
          <t>Written processor proposal translating any residual into net bps of PPV, stating fee base, payment-method scope, activation threshold, pricing control, reserves, loss liability, clawbacks, settlement, data access, and portability</t>
        </is>
      </c>
      <c r="D14">
        <f>IF(Inputs!$B$38="","",Inputs!$B$38)</f>
        <v/>
      </c>
      <c r="E14">
        <f>IF(OR($C14="",Inputs!$B$38=""),"",$C14*Inputs!$B$38)</f>
        <v/>
      </c>
      <c r="F14" t="inlineStr">
        <is>
          <t>Phase A (L332–L336)</t>
        </is>
      </c>
    </row>
    <row r="15">
      <c r="A15" t="inlineStr">
        <is>
          <t>Phase A</t>
        </is>
      </c>
      <c r="B15" t="inlineStr">
        <is>
          <t>Interviews with five active local originators and two exclusive lease-up brokers on inventory freshness, registration protection, payee rules, payout timing, and buyer vs demand-source role</t>
        </is>
      </c>
      <c r="D15">
        <f>IF(Inputs!$B$38="","",Inputs!$B$38)</f>
        <v/>
      </c>
      <c r="E15">
        <f>IF(OR($C15="",Inputs!$B$38=""),"",$C15*Inputs!$B$38)</f>
        <v/>
      </c>
      <c r="F15" t="inlineStr">
        <is>
          <t>Phase A (L338–L341)</t>
        </is>
      </c>
    </row>
    <row r="16">
      <c r="A16" t="inlineStr">
        <is>
          <t>Phase B</t>
        </is>
      </c>
      <c r="B16" t="inlineStr">
        <is>
          <t>Operator adoption test: four consecutive weeks routing at least 80% of eligible new leads through the LeaseRight flow, with the report generated from the same records and duplicate entry measured</t>
        </is>
      </c>
      <c r="D16">
        <f>IF(Inputs!$B$38="","",Inputs!$B$38)</f>
        <v/>
      </c>
      <c r="E16">
        <f>IF(OR($C16="",Inputs!$B$38=""),"",$C16*Inputs!$B$38)</f>
        <v/>
      </c>
      <c r="F16" t="inlineStr">
        <is>
          <t>Phase B (L351–L356)</t>
        </is>
      </c>
    </row>
    <row r="17">
      <c r="A17" t="inlineStr">
        <is>
          <t>Phase B</t>
        </is>
      </c>
      <c r="B17" t="inlineStr">
        <is>
          <t>Mechanism/effect proxies against the operator's pre-pilot baseline: median lead-arrival to human-contact time, inquiry-to-tour conversion by source, and days-on-market for the stalled unit type</t>
        </is>
      </c>
      <c r="D17">
        <f>IF(Inputs!$B$38="","",Inputs!$B$38)</f>
        <v/>
      </c>
      <c r="E17">
        <f>IF(OR($C17="",Inputs!$B$38=""),"",$C17*Inputs!$B$38)</f>
        <v/>
      </c>
      <c r="F17" t="inlineStr">
        <is>
          <t>Phase B (L357–L361)</t>
        </is>
      </c>
    </row>
    <row r="18">
      <c r="A18" t="inlineStr">
        <is>
          <t>Phase B</t>
        </is>
      </c>
      <c r="B18" t="inlineStr">
        <is>
          <t>Originator behaviour test: five active local originators invited, at least three unique client registrations, one downstream tour or application, and no unresolved attribution dispute</t>
        </is>
      </c>
      <c r="D18">
        <f>IF(Inputs!$B$38="","",Inputs!$B$38)</f>
        <v/>
      </c>
      <c r="E18">
        <f>IF(OR($C18="",Inputs!$B$38=""),"",$C18*Inputs!$B$38)</f>
        <v/>
      </c>
      <c r="F18" t="inlineStr">
        <is>
          <t>Phase B (L362–L366)</t>
        </is>
      </c>
    </row>
    <row r="19">
      <c r="A19" t="inlineStr">
        <is>
          <t>Phase B</t>
        </is>
      </c>
      <c r="B19" t="inlineStr">
        <is>
          <t>Lender value test: one lender shown the reconciled baseline and weekly variance output, with the changed diligence request, reserve assumption, reporting requirement, or credit conversation recorded</t>
        </is>
      </c>
      <c r="D19">
        <f>IF(Inputs!$B$38="","",Inputs!$B$38)</f>
        <v/>
      </c>
      <c r="E19">
        <f>IF(OR($C19="",Inputs!$B$38=""),"",$C19*Inputs!$B$38)</f>
        <v/>
      </c>
      <c r="F19" t="inlineStr">
        <is>
          <t>Phase B (L367–L369)</t>
        </is>
      </c>
    </row>
    <row r="21">
      <c r="A21" t="inlineStr">
        <is>
          <t>Commercial-gate subtotal</t>
        </is>
      </c>
      <c r="B21" t="inlineStr">
        <is>
          <t>rows 7–8</t>
        </is>
      </c>
      <c r="C21">
        <f>IF(COUNTBLANK(C7:C8)&gt;0,"inputs required",SUM(C7:C8))</f>
        <v/>
      </c>
      <c r="E21">
        <f>IF(OR(Inputs!$B$38="",COUNTBLANK(C7:C8)&gt;0),"inputs required",SUM(C7:C8)*Inputs!$B$38)</f>
        <v/>
      </c>
      <c r="F21" t="inlineStr">
        <is>
          <t>Commercial gate (L301–L319)</t>
        </is>
      </c>
    </row>
    <row r="22">
      <c r="A22" t="inlineStr">
        <is>
          <t>Phase A subtotal</t>
        </is>
      </c>
      <c r="B22" t="inlineStr">
        <is>
          <t>rows 9–15</t>
        </is>
      </c>
      <c r="C22">
        <f>IF(COUNTBLANK(C9:C15)&gt;0,"inputs required",SUM(C9:C15))</f>
        <v/>
      </c>
      <c r="E22">
        <f>IF(OR(Inputs!$B$38="",COUNTBLANK(C9:C15)&gt;0),"inputs required",SUM(C9:C15)*Inputs!$B$38)</f>
        <v/>
      </c>
      <c r="F22" t="inlineStr">
        <is>
          <t>Phase A (L321–L347)</t>
        </is>
      </c>
    </row>
    <row r="23">
      <c r="A23" t="inlineStr">
        <is>
          <t>Phase B subtotal</t>
        </is>
      </c>
      <c r="B23" t="inlineStr">
        <is>
          <t>rows 16–19</t>
        </is>
      </c>
      <c r="C23">
        <f>IF(COUNTBLANK(C16:C19)&gt;0,"inputs required",SUM(C16:C19))</f>
        <v/>
      </c>
      <c r="E23">
        <f>IF(OR(Inputs!$B$38="",COUNTBLANK(C16:C19)&gt;0),"inputs required",SUM(C16:C19)*Inputs!$B$38)</f>
        <v/>
      </c>
      <c r="F23" t="inlineStr">
        <is>
          <t>Phase B (L349–L369)</t>
        </is>
      </c>
    </row>
    <row r="24">
      <c r="A24" t="inlineStr">
        <is>
          <t>Deliverable build-up total</t>
        </is>
      </c>
      <c r="B24" t="inlineStr">
        <is>
          <t>rows 7–19</t>
        </is>
      </c>
      <c r="C24">
        <f>IF(COUNTBLANK(C7:C19)&gt;0,"inputs required",SUM(C7:C19))</f>
        <v/>
      </c>
      <c r="E24">
        <f>IF(OR(Inputs!$B$38="",COUNTBLANK(C7:C19)&gt;0),"inputs required",SUM(C7:C19)*Inputs!$B$38)</f>
        <v/>
      </c>
      <c r="F24" t="inlineStr">
        <is>
          <t>Subtotals read 'inputs required' — not $0 — until Inputs!B38 and every hours cell are filled</t>
        </is>
      </c>
    </row>
    <row r="26">
      <c r="A26" t="inlineStr">
        <is>
          <t>Pilot fee (Inputs!B34) — Justin's decision</t>
        </is>
      </c>
      <c r="C26">
        <f>IF(Inputs!$B$34="","not set — this workbook sets no price and recommends none",Inputs!$B$34)</f>
        <v/>
      </c>
      <c r="F26" t="inlineStr">
        <is>
          <t>Only decisions Justin must make now (L533–L541)</t>
        </is>
      </c>
    </row>
    <row r="27">
      <c r="A27" t="inlineStr">
        <is>
          <t>Fee less the deliverable build-up ($)</t>
        </is>
      </c>
      <c r="C27">
        <f>IF(OR(Inputs!$B$34="",Inputs!$B$38="",COUNTBLANK(C7:C19)&gt;0),"inputs required",Inputs!$B$34-SUM(C7:C19)*Inputs!$B$38)</f>
        <v/>
      </c>
      <c r="F27" t="inlineStr">
        <is>
          <t>—</t>
        </is>
      </c>
    </row>
    <row r="28">
      <c r="A28" t="inlineStr">
        <is>
          <t>Fee against the INFERRED five-figure band (Inputs!B35–B36)</t>
        </is>
      </c>
      <c r="C28">
        <f>IF(Inputs!$B$34="","fee not set",IF(AND(Inputs!$B$34&gt;=Inputs!$B$35,Inputs!$B$34&lt;=Inputs!$B$36),"within the inferred five-figure band","outside the inferred five-figure band"))</f>
        <v/>
      </c>
      <c r="F28" t="inlineStr">
        <is>
          <t>The answer (L44) — 'five-figure' in words only; the numeric band is INFERRED</t>
        </is>
      </c>
    </row>
    <row r="29">
      <c r="A29" t="inlineStr">
        <is>
          <t>Fee less the $25K project-fee reference (Inputs!B37) ($)</t>
        </is>
      </c>
      <c r="C29">
        <f>IF(Inputs!$B$34="","fee not set",Inputs!$B$34-Inputs!$B$37)</f>
        <v/>
      </c>
      <c r="F29" t="inlineStr">
        <is>
          <t>Retention and acquisition economics (L132–L141) — a crossover reference, not a price</t>
        </is>
      </c>
    </row>
    <row r="30">
      <c r="A30" t="inlineStr">
        <is>
          <t>Implied blended rate at the fee ($/hr)</t>
        </is>
      </c>
      <c r="C30">
        <f>IF(OR(Inputs!$B$34="",COUNTBLANK(C7:C19)&gt;0,SUM(C7:C19)=0),"inputs required",Inputs!$B$34/SUM(C7:C19))</f>
        <v/>
      </c>
      <c r="F30" t="inlineStr">
        <is>
          <t>—</t>
        </is>
      </c>
    </row>
    <row r="31">
      <c r="A31" t="inlineStr">
        <is>
          <t>Fee per delivery month (Inputs!B41) ($)</t>
        </is>
      </c>
      <c r="C31">
        <f>IF(OR(Inputs!$B$34="",Inputs!$B$41=""),"inputs required",Inputs!$B$34/Inputs!$B$41)</f>
        <v/>
      </c>
      <c r="F31" t="inlineStr">
        <is>
          <t>—</t>
        </is>
      </c>
    </row>
    <row r="32">
      <c r="A32" t="inlineStr">
        <is>
          <t>Annual net payment revenue from one base asset at the screen case, for context ($)</t>
        </is>
      </c>
      <c r="C32">
        <f>'PPV Sensitivity'!E7</f>
        <v/>
      </c>
      <c r="F32" t="inlineStr">
        <is>
          <t>Definitions that control (L84–L88)</t>
        </is>
      </c>
    </row>
    <row r="34">
      <c r="A34" t="inlineStr">
        <is>
          <t>Justin sets Inputs!B34 (fee), Inputs!B38 (blended rate), Inputs!B39 (Phase A months), and the hours in C7:C19. Until the rate and every hours cell are filled, the subtotals and the total read 'inputs required' rather than $0, so an unfinished estimate cannot be mistaken for a completed zero-cost one.</t>
        </is>
      </c>
    </row>
    <row r="35">
      <c r="A35" t="inlineStr">
        <is>
          <t>The synthesis does not state a fee, a rate, or any hours. Nothing in this sheet proposes a number; it only shows what the fixed fee has to cover and how a fee you enter compares to that scope.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56" customWidth="1" min="4" max="4"/>
    <col width="96" customWidth="1" min="5" max="5"/>
  </cols>
  <sheetData>
    <row r="1">
      <c r="A1" t="inlineStr">
        <is>
          <t>Sources — every seeded assumption in this workbook and where it came from</t>
        </is>
      </c>
    </row>
    <row r="2">
      <c r="A2" t="inlineStr">
        <is>
          <t>Source document: spec/OVERSEER_MODEL_AND_AGENT_SYNTHESIS.md, 'Overseer synthesis — LeaseRight model viability, payment engine, and agent role', as of 2026-09-02. Line numbers are that file's lines at the time this workbook was built.</t>
        </is>
      </c>
    </row>
    <row r="3">
      <c r="A3" t="inlineStr">
        <is>
          <t>STATED = the synthesis states the figure or instruction. INFERRED = derived by the workbook author and not present in the synthesis. NOT STATED = the synthesis explicitly leaves it open. STATED EXCLUSION = the synthesis directs that it not be used.</t>
        </is>
      </c>
    </row>
    <row r="5">
      <c r="A5" t="inlineStr">
        <is>
          <t>Workbook cell</t>
        </is>
      </c>
      <c r="B5" t="inlineStr">
        <is>
          <t>Seeded value / content</t>
        </is>
      </c>
      <c r="C5" t="inlineStr">
        <is>
          <t>Status</t>
        </is>
      </c>
      <c r="D5" t="inlineStr">
        <is>
          <t>Synthesis section (heading — lines)</t>
        </is>
      </c>
      <c r="E5" t="inlineStr">
        <is>
          <t>Supporting text</t>
        </is>
      </c>
    </row>
    <row r="6">
      <c r="A6" t="inlineStr">
        <is>
          <t>Inputs!B8</t>
        </is>
      </c>
      <c r="B6" t="inlineStr">
        <is>
          <t>260 total units</t>
        </is>
      </c>
      <c r="C6" t="inlineStr">
        <is>
          <t>STATED</t>
        </is>
      </c>
      <c r="D6" t="inlineStr">
        <is>
          <t>Payment-engine underwriting › Definitions that control — L73–L75</t>
        </is>
      </c>
      <c r="E6" t="inlineStr">
        <is>
          <t>'Base planning inputs are 260 total units and $2,180 monthly rent from the repository…'</t>
        </is>
      </c>
    </row>
    <row r="7">
      <c r="A7" t="inlineStr">
        <is>
          <t>Inputs!B9</t>
        </is>
      </c>
      <c r="B7" t="inlineStr">
        <is>
          <t>$2,180 monthly rent</t>
        </is>
      </c>
      <c r="C7" t="inlineStr">
        <is>
          <t>STATED</t>
        </is>
      </c>
      <c r="D7" t="inlineStr">
        <is>
          <t>Payment-engine underwriting › Definitions that control — L73–L75</t>
        </is>
      </c>
      <c r="E7" t="inlineStr">
        <is>
          <t>'Base planning inputs are 260 total units and $2,180 monthly rent from the repository…'</t>
        </is>
      </c>
    </row>
    <row r="8">
      <c r="A8" t="inlineStr">
        <is>
          <t>Inputs!B10</t>
        </is>
      </c>
      <c r="B8" t="inlineStr">
        <is>
          <t>95% occupied / collectible</t>
        </is>
      </c>
      <c r="C8" t="inlineStr">
        <is>
          <t>STATED</t>
        </is>
      </c>
      <c r="D8" t="inlineStr">
        <is>
          <t>Payment-engine underwriting › Definitions that control — L75–L76</t>
        </is>
      </c>
      <c r="E8" t="inlineStr">
        <is>
          <t>'…plus explicit underwriting assumptions of 95% occupied/collectible rent and 80% payment adoption.'</t>
        </is>
      </c>
    </row>
    <row r="9">
      <c r="A9" t="inlineStr">
        <is>
          <t>Inputs!B11</t>
        </is>
      </c>
      <c r="B9" t="inlineStr">
        <is>
          <t>80% payment adoption</t>
        </is>
      </c>
      <c r="C9" t="inlineStr">
        <is>
          <t>STATED</t>
        </is>
      </c>
      <c r="D9" t="inlineStr">
        <is>
          <t>Payment-engine underwriting › Definitions that control — L75–L76</t>
        </is>
      </c>
      <c r="E9" t="inlineStr">
        <is>
          <t>'…plus explicit underwriting assumptions of 95% occupied/collectible rent and 80% payment adoption.'</t>
        </is>
      </c>
    </row>
    <row r="10">
      <c r="A10" t="inlineStr">
        <is>
          <t>Inputs!B12</t>
        </is>
      </c>
      <c r="B10" t="inlineStr">
        <is>
          <t>empty — no ACH/card split seeded</t>
        </is>
      </c>
      <c r="C10" t="inlineStr">
        <is>
          <t>NOT STATED</t>
        </is>
      </c>
      <c r="D10" t="inlineStr">
        <is>
          <t>What to test next › Phase A — L328–L330</t>
        </is>
      </c>
      <c r="E10" t="inlineStr">
        <is>
          <t>'obtain the payment evidence that can falsify the engine cheaply: 12 months of rent rolls and processor statements where available; method mix; fee payer…' The synthesis names method mix as evidence to collect and states no split, so none is seeded.</t>
        </is>
      </c>
    </row>
    <row r="11">
      <c r="A11" t="inlineStr">
        <is>
          <t>Inputs!B13</t>
        </is>
      </c>
      <c r="B11" t="inlineStr">
        <is>
          <t>1 − B12 (formula)</t>
        </is>
      </c>
      <c r="C11" t="inlineStr">
        <is>
          <t>derived from B12</t>
        </is>
      </c>
      <c r="D11" t="inlineStr">
        <is>
          <t>Payment-engine underwriting › Adoption design — L157–L158</t>
        </is>
      </c>
      <c r="E11" t="inlineStr">
        <is>
          <t>'free ACH to the resident, optional card at fully disclosed cost' — two methods are named; the complement is arithmetic, not a stated split.</t>
        </is>
      </c>
    </row>
    <row r="12">
      <c r="A12" t="inlineStr">
        <is>
          <t>Inputs!B22</t>
        </is>
      </c>
      <c r="B12" t="inlineStr">
        <is>
          <t>5 bps — residual downside</t>
        </is>
      </c>
      <c r="C12" t="inlineStr">
        <is>
          <t>STATED</t>
        </is>
      </c>
      <c r="D12" t="inlineStr">
        <is>
          <t>The answer — L18–L20; Payment-engine underwriting › What is realistic — L118–L120</t>
        </is>
      </c>
      <c r="E12" t="inlineStr">
        <is>
          <t>'The commercial screen that should control is 5–10 basis points of net LeaseRight revenue on processed rent volume.' / 'screen at 10 bps, test 5 bps as downside'</t>
        </is>
      </c>
    </row>
    <row r="13">
      <c r="A13" t="inlineStr">
        <is>
          <t>Inputs!B23</t>
        </is>
      </c>
      <c r="B13" t="inlineStr">
        <is>
          <t>10 bps — underwriting screen</t>
        </is>
      </c>
      <c r="C13" t="inlineStr">
        <is>
          <t>STATED</t>
        </is>
      </c>
      <c r="D13" t="inlineStr">
        <is>
          <t>The answer — L18–L20; Payment-engine underwriting › What is realistic — L118–L120</t>
        </is>
      </c>
      <c r="E13" t="inlineStr">
        <is>
          <t>'The commercial screen that should control is 5–10 basis points…' / 'screen at 10 bps, test 5 bps as downside'</t>
        </is>
      </c>
    </row>
    <row r="14">
      <c r="A14" t="inlineStr">
        <is>
          <t>Inputs!B24</t>
        </is>
      </c>
      <c r="B14" t="inlineStr">
        <is>
          <t>25 bps — stretch contract case</t>
        </is>
      </c>
      <c r="C14" t="inlineStr">
        <is>
          <t>STATED</t>
        </is>
      </c>
      <c r="D14" t="inlineStr">
        <is>
          <t>The answer — L20–L21; Payment-engine underwriting › What is realistic — L118–L119</t>
        </is>
      </c>
      <c r="E14" t="inlineStr">
        <is>
          <t>'A 25-bps net take is a stretch contract case that likely requires a separate owner-funded application/platform fee or unusually favorable wholesale economics.' / 'require a written contract before using 25 bps'</t>
        </is>
      </c>
    </row>
    <row r="15">
      <c r="A15" t="inlineStr">
        <is>
          <t>Inputs!B25</t>
        </is>
      </c>
      <c r="B15" t="inlineStr">
        <is>
          <t>50 bps — NOT MODELLED</t>
        </is>
      </c>
      <c r="C15" t="inlineStr">
        <is>
          <t>STATED EXCLUSION</t>
        </is>
      </c>
      <c r="D15" t="inlineStr">
        <is>
          <t>The answer — L21–L23; Debate reconciliation — L232; Completed in this mission — L477–L478</t>
        </is>
      </c>
      <c r="E15" t="inlineStr">
        <is>
          <t>'Do not use 50 bps in the plan: no source or proposal supports it…' / 'removed 50 bps from the plan because no source or proposal supports it.' No 50-bps column exists in this workbook.</t>
        </is>
      </c>
    </row>
    <row r="16">
      <c r="A16" t="inlineStr">
        <is>
          <t>Inputs!B26</t>
        </is>
      </c>
      <c r="B16" t="inlineStr">
        <is>
          <t>10 bps what-if seed</t>
        </is>
      </c>
      <c r="C16" t="inlineStr">
        <is>
          <t>INFERRED</t>
        </is>
      </c>
      <c r="D16" t="inlineStr">
        <is>
          <t>No synthesis figure</t>
        </is>
      </c>
      <c r="E16" t="inlineStr">
        <is>
          <t>A scenario cell with no synthesis basis. Seeded at the stated 10-bps screen so the what-if column opens on the screen case; it is meant to be changed.</t>
        </is>
      </c>
    </row>
    <row r="17">
      <c r="A17" t="inlineStr">
        <is>
          <t>Inputs!B29</t>
        </is>
      </c>
      <c r="B17" t="inlineStr">
        <is>
          <t>$1,000,000 annual net revenue target</t>
        </is>
      </c>
      <c r="C17" t="inlineStr">
        <is>
          <t>STATED</t>
        </is>
      </c>
      <c r="D17" t="inlineStr">
        <is>
          <t>The answer — L30–L31</t>
        </is>
      </c>
      <c r="E17" t="inlineStr">
        <is>
          <t>'Reaching $1M of annual net payment revenue requires about $1B–$2B of PPV, or roughly 50K–101K comparable total units.'</t>
        </is>
      </c>
    </row>
    <row r="18">
      <c r="A18" t="inlineStr">
        <is>
          <t>Inputs!B30</t>
        </is>
      </c>
      <c r="B18" t="inlineStr">
        <is>
          <t>×5 secondary target</t>
        </is>
      </c>
      <c r="C18" t="inlineStr">
        <is>
          <t>STATED</t>
        </is>
      </c>
      <c r="D18" t="inlineStr">
        <is>
          <t>Payment-engine underwriting › Definitions that control — L90</t>
        </is>
      </c>
      <c r="E18" t="inlineStr">
        <is>
          <t>'For $5M of annual net payment revenue, multiply every PPV, unit, and asset requirement by five.'</t>
        </is>
      </c>
    </row>
    <row r="19">
      <c r="A19" t="inlineStr">
        <is>
          <t>Inputs!B31</t>
        </is>
      </c>
      <c r="B19" t="inlineStr">
        <is>
          <t>Inputs!B8 (formula) — 260 units per comparable asset</t>
        </is>
      </c>
      <c r="C19" t="inlineStr">
        <is>
          <t>STATED</t>
        </is>
      </c>
      <c r="D19" t="inlineStr">
        <is>
          <t>Payment-engine underwriting › Definitions that control — L84–L88</t>
        </is>
      </c>
      <c r="E19" t="inlineStr">
        <is>
          <t>Table column '260-unit assets for $1M'.</t>
        </is>
      </c>
    </row>
    <row r="20">
      <c r="A20" t="inlineStr">
        <is>
          <t>Inputs!B34</t>
        </is>
      </c>
      <c r="B20" t="inlineStr">
        <is>
          <t>empty — no pilot fee set</t>
        </is>
      </c>
      <c r="C20" t="inlineStr">
        <is>
          <t>DECISION — deliberately unset</t>
        </is>
      </c>
      <c r="D20" t="inlineStr">
        <is>
          <t>What to test next › Commercial gate — L301–L319; Only decisions Justin must make now — L533–L541</t>
        </is>
      </c>
      <c r="E20" t="inlineStr">
        <is>
          <t>'Approve a fixed, upfront five-figure pilot, scoped by project band and deliverables, with validation before further rebuild.' The synthesis states no number and this workbook sets none.</t>
        </is>
      </c>
    </row>
    <row r="21">
      <c r="A21" t="inlineStr">
        <is>
          <t>Inputs!B35</t>
        </is>
      </c>
      <c r="B21" t="inlineStr">
        <is>
          <t>$10,000 band low</t>
        </is>
      </c>
      <c r="C21" t="inlineStr">
        <is>
          <t>INFERRED</t>
        </is>
      </c>
      <c r="D21" t="inlineStr">
        <is>
          <t>The answer — L44; Commercial gate — L301; Only decisions — L533</t>
        </is>
      </c>
      <c r="E21" t="inlineStr">
        <is>
          <t>'one fixed, upfront five-figure, stage-gated project pilot' — 'five-figure' appears in words only. The numeric band is the workbook author's arithmetic reading of the term, not a figure in the synthesis.</t>
        </is>
      </c>
    </row>
    <row r="22">
      <c r="A22" t="inlineStr">
        <is>
          <t>Inputs!B36</t>
        </is>
      </c>
      <c r="B22" t="inlineStr">
        <is>
          <t>$99,999 band high</t>
        </is>
      </c>
      <c r="C22" t="inlineStr">
        <is>
          <t>INFERRED</t>
        </is>
      </c>
      <c r="D22" t="inlineStr">
        <is>
          <t>The answer — L44; Commercial gate — L301; Only decisions — L533</t>
        </is>
      </c>
      <c r="E22" t="inlineStr">
        <is>
          <t>'one fixed, upfront five-figure, stage-gated project pilot' — 'five-figure' appears in words only. The numeric band is the workbook author's arithmetic reading of the term, not a figure in the synthesis.</t>
        </is>
      </c>
    </row>
    <row r="23">
      <c r="A23" t="inlineStr">
        <is>
          <t>Inputs!B37</t>
        </is>
      </c>
      <c r="B23" t="inlineStr">
        <is>
          <t>$25,000 project-fee reference</t>
        </is>
      </c>
      <c r="C23" t="inlineStr">
        <is>
          <t>STATED — as a crossover reference, not a price</t>
        </is>
      </c>
      <c r="D23" t="inlineStr">
        <is>
          <t>Payment-engine underwriting › Retention and acquisition economics — L132–L141</t>
        </is>
      </c>
      <c r="E23" t="inlineStr">
        <is>
          <t>'Take rate where lifetime payments equal one $25K project fee' and 'produces only 0.48× one $25K project fee over the asset's payment life'. The synthesis uses $25K to test take-rate crossover; it does not recommend it as the pilot price.</t>
        </is>
      </c>
    </row>
    <row r="24">
      <c r="A24" t="inlineStr">
        <is>
          <t>Inputs!B38</t>
        </is>
      </c>
      <c r="B24" t="inlineStr">
        <is>
          <t>empty — blended delivery rate</t>
        </is>
      </c>
      <c r="C24" t="inlineStr">
        <is>
          <t>NOT STATED</t>
        </is>
      </c>
      <c r="D24" t="inlineStr">
        <is>
          <t>No synthesis figure</t>
        </is>
      </c>
      <c r="E24" t="inlineStr">
        <is>
          <t>The synthesis states no rate. Left empty rather than guessed; it is Justin's input.</t>
        </is>
      </c>
    </row>
    <row r="25">
      <c r="A25" t="inlineStr">
        <is>
          <t>Inputs!B39</t>
        </is>
      </c>
      <c r="B25" t="inlineStr">
        <is>
          <t>empty — Phase A duration</t>
        </is>
      </c>
      <c r="C25" t="inlineStr">
        <is>
          <t>NOT STATED</t>
        </is>
      </c>
      <c r="D25" t="inlineStr">
        <is>
          <t>What to test next › Phase A — L321–L347</t>
        </is>
      </c>
      <c r="E25" t="inlineStr">
        <is>
          <t>Phase A is scoped by deliverables and gates; no duration is stated.</t>
        </is>
      </c>
    </row>
    <row r="26">
      <c r="A26" t="inlineStr">
        <is>
          <t>Inputs!B40</t>
        </is>
      </c>
      <c r="B26" t="inlineStr">
        <is>
          <t>2 months — Phase B duration</t>
        </is>
      </c>
      <c r="C26" t="inlineStr">
        <is>
          <t>INFERRED from a stated duration</t>
        </is>
      </c>
      <c r="D26" t="inlineStr">
        <is>
          <t>What to test next › Phase B — conditional 60-day operating test — L349</t>
        </is>
      </c>
      <c r="E26" t="inlineStr">
        <is>
          <t>The heading states a '60-day operating test'. Entering 60 days as 2 months is the workbook author's conversion; the synthesis does not express Phase B in months.</t>
        </is>
      </c>
    </row>
    <row r="27">
      <c r="A27" t="inlineStr">
        <is>
          <t>Inputs!B42</t>
        </is>
      </c>
      <c r="B27" t="inlineStr">
        <is>
          <t>100 units — project band low</t>
        </is>
      </c>
      <c r="C27" t="inlineStr">
        <is>
          <t>STATED</t>
        </is>
      </c>
      <c r="D27" t="inlineStr">
        <is>
          <t>What to test next › Commercial gate — L303</t>
        </is>
      </c>
      <c r="E27" t="inlineStr">
        <is>
          <t>'Sell one stage-gated engagement for a real 100–400-unit lease-up in one launch market…'</t>
        </is>
      </c>
    </row>
    <row r="28">
      <c r="A28" t="inlineStr">
        <is>
          <t>Inputs!B43</t>
        </is>
      </c>
      <c r="B28" t="inlineStr">
        <is>
          <t>400 units — project band high</t>
        </is>
      </c>
      <c r="C28" t="inlineStr">
        <is>
          <t>STATED</t>
        </is>
      </c>
      <c r="D28" t="inlineStr">
        <is>
          <t>What to test next › Commercial gate — L303</t>
        </is>
      </c>
      <c r="E28" t="inlineStr">
        <is>
          <t>'Sell one stage-gated engagement for a real 100–400-unit lease-up in one launch market…'</t>
        </is>
      </c>
    </row>
    <row r="29">
      <c r="A29" t="inlineStr">
        <is>
          <t>'PPV Sensitivity'!A6, A8</t>
        </is>
      </c>
      <c r="B29" t="inlineStr">
        <is>
          <t>project-band endpoints as grid rows</t>
        </is>
      </c>
      <c r="C29" t="inlineStr">
        <is>
          <t>STATED</t>
        </is>
      </c>
      <c r="D29" t="inlineStr">
        <is>
          <t>What to test next › Commercial gate — L303</t>
        </is>
      </c>
      <c r="E29" t="inlineStr">
        <is>
          <t>'a real 100–400-unit lease-up in one launch market'</t>
        </is>
      </c>
    </row>
    <row r="30">
      <c r="A30" t="inlineStr">
        <is>
          <t>'PPV Sensitivity'!A7</t>
        </is>
      </c>
      <c r="B30" t="inlineStr">
        <is>
          <t>base stabilized asset as a grid row</t>
        </is>
      </c>
      <c r="C30" t="inlineStr">
        <is>
          <t>STATED</t>
        </is>
      </c>
      <c r="D30" t="inlineStr">
        <is>
          <t>Payment-engine underwriting › Definitions that control — L73–L75</t>
        </is>
      </c>
      <c r="E30" t="inlineStr">
        <is>
          <t>The 260-unit base planning input.</t>
        </is>
      </c>
    </row>
    <row r="31">
      <c r="A31" t="inlineStr">
        <is>
          <t>'PPV Sensitivity'!A9:A13</t>
        </is>
      </c>
      <c r="B31" t="inlineStr">
        <is>
          <t>10× / 50× / 100× / 200× / 400× the base asset</t>
        </is>
      </c>
      <c r="C31" t="inlineStr">
        <is>
          <t>INFERRED</t>
        </is>
      </c>
      <c r="D31" t="inlineStr">
        <is>
          <t>No synthesis figure</t>
        </is>
      </c>
      <c r="E31" t="inlineStr">
        <is>
          <t>The synthesis states no unit ladder. These multiples were chosen by the workbook author to bracket its stated 50K–101K unit requirement (The answer, L30–L31); they are formulas off Inputs!B8.</t>
        </is>
      </c>
    </row>
    <row r="32">
      <c r="A32" t="inlineStr">
        <is>
          <t>'Pilot Fee'!B7:B19</t>
        </is>
      </c>
      <c r="B32" t="inlineStr">
        <is>
          <t>thirteen scoped deliverables</t>
        </is>
      </c>
      <c r="C32" t="inlineStr">
        <is>
          <t>STATED</t>
        </is>
      </c>
      <c r="D32" t="inlineStr">
        <is>
          <t>What to test next › Commercial gate — L301–L319; Phase A — L321–L347; Phase B — L349–L369</t>
        </is>
      </c>
      <c r="E32" t="inlineStr">
        <is>
          <t>Transcribed from those sections. 'The fixed fee covers the Model calibration, frozen launch baseline, weekly variance output, payment diligence, and the conditional operating test.'</t>
        </is>
      </c>
    </row>
    <row r="33">
      <c r="A33" t="inlineStr">
        <is>
          <t>'Pilot Fee'!C7:C19</t>
        </is>
      </c>
      <c r="B33" t="inlineStr">
        <is>
          <t>empty hours</t>
        </is>
      </c>
      <c r="C33" t="inlineStr">
        <is>
          <t>NOT STATED</t>
        </is>
      </c>
      <c r="D33" t="inlineStr">
        <is>
          <t>No synthesis figure</t>
        </is>
      </c>
      <c r="E33" t="inlineStr">
        <is>
          <t>Direct inputs on that sheet — the only cells outside 'Inputs' that are typed rather than calculated. The synthesis states no hours.</t>
        </is>
      </c>
    </row>
    <row r="34">
      <c r="A34" t="inlineStr">
        <is>
          <t>Whole workbook</t>
        </is>
      </c>
      <c r="B34" t="inlineStr">
        <is>
          <t>no recommended price</t>
        </is>
      </c>
      <c r="C34" t="inlineStr">
        <is>
          <t>By instruction</t>
        </is>
      </c>
      <c r="D34" t="inlineStr">
        <is>
          <t>Remaining risks — L518; Only decisions Justin must make now — L533–L541</t>
        </is>
      </c>
      <c r="E34" t="inlineStr">
        <is>
          <t>'the first fixed fee must therefore be scoped from deliverables and project band.' This workbook scopes; it does not price.</t>
        </is>
      </c>
    </row>
    <row r="36">
      <c r="A36" t="inlineStr">
        <is>
          <t>Live reconciliation — figure as stated in the synthesis vs this workbook's formula chain</t>
        </is>
      </c>
    </row>
    <row r="37">
      <c r="A37" t="inlineStr">
        <is>
          <t>Figure</t>
        </is>
      </c>
      <c r="B37" t="inlineStr">
        <is>
          <t>As stated in the synthesis</t>
        </is>
      </c>
      <c r="C37" t="inlineStr">
        <is>
          <t>Live from this workbook</t>
        </is>
      </c>
      <c r="D37" t="inlineStr">
        <is>
          <t>Difference (live − stated)</t>
        </is>
      </c>
      <c r="E37" t="inlineStr">
        <is>
          <t>Synthesis section (heading — lines)</t>
        </is>
      </c>
    </row>
    <row r="38">
      <c r="A38" t="inlineStr">
        <is>
          <t>Annual billed rent ($/year)</t>
        </is>
      </c>
      <c r="B38" t="n">
        <v>6801600</v>
      </c>
      <c r="C38">
        <f>Inputs!B17</f>
        <v/>
      </c>
      <c r="D38">
        <f>IF(ISNUMBER(C38),C38-B38,"")</f>
        <v/>
      </c>
      <c r="E38" t="inlineStr">
        <is>
          <t>Definitions that control — L78</t>
        </is>
      </c>
    </row>
    <row r="39">
      <c r="A39" t="inlineStr">
        <is>
          <t>Base annual PPV ($/year)</t>
        </is>
      </c>
      <c r="B39" t="n">
        <v>5169216</v>
      </c>
      <c r="C39">
        <f>Inputs!B18</f>
        <v/>
      </c>
      <c r="D39">
        <f>IF(ISNUMBER(C39),C39-B39,"")</f>
        <v/>
      </c>
      <c r="E39" t="inlineStr">
        <is>
          <t>Definitions that control — L80</t>
        </is>
      </c>
    </row>
    <row r="40">
      <c r="A40" t="inlineStr">
        <is>
          <t>PPV per total unit per year ($)</t>
        </is>
      </c>
      <c r="B40" t="n">
        <v>19881</v>
      </c>
      <c r="C40">
        <f>Inputs!B19</f>
        <v/>
      </c>
      <c r="D40">
        <f>IF(ISNUMBER(C40),C40-B40,"")</f>
        <v/>
      </c>
      <c r="E40" t="inlineStr">
        <is>
          <t>Definitions that control — L81 (the synthesis prints $19,881; the exact quotient is $19,881.60)</t>
        </is>
      </c>
    </row>
    <row r="41">
      <c r="A41" t="inlineStr">
        <is>
          <t>Net revenue / total unit / month @ 10 bps ($)</t>
        </is>
      </c>
      <c r="B41" t="n">
        <v>1.66</v>
      </c>
      <c r="C41">
        <f>'PPV Sensitivity'!H7</f>
        <v/>
      </c>
      <c r="D41">
        <f>IF(ISNUMBER(C41),C41-B41,"")</f>
        <v/>
      </c>
      <c r="E41" t="inlineStr">
        <is>
          <t>Definitions that control — L87</t>
        </is>
      </c>
    </row>
    <row r="42">
      <c r="A42" t="inlineStr">
        <is>
          <t>Net revenue / 260-unit asset @ 5 bps ($)</t>
        </is>
      </c>
      <c r="B42" t="n">
        <v>2585</v>
      </c>
      <c r="C42">
        <f>'PPV Sensitivity'!D7</f>
        <v/>
      </c>
      <c r="D42">
        <f>IF(ISNUMBER(C42),C42-B42,"")</f>
        <v/>
      </c>
      <c r="E42" t="inlineStr">
        <is>
          <t>Definitions that control — L86</t>
        </is>
      </c>
    </row>
    <row r="43">
      <c r="A43" t="inlineStr">
        <is>
          <t>Net revenue / 260-unit asset @ 10 bps ($)</t>
        </is>
      </c>
      <c r="B43" t="n">
        <v>5169</v>
      </c>
      <c r="C43">
        <f>'PPV Sensitivity'!E7</f>
        <v/>
      </c>
      <c r="D43">
        <f>IF(ISNUMBER(C43),C43-B43,"")</f>
        <v/>
      </c>
      <c r="E43" t="inlineStr">
        <is>
          <t>Definitions that control — L87</t>
        </is>
      </c>
    </row>
    <row r="44">
      <c r="A44" t="inlineStr">
        <is>
          <t>Net revenue / 260-unit asset @ 25 bps ($)</t>
        </is>
      </c>
      <c r="B44" t="n">
        <v>12923</v>
      </c>
      <c r="C44">
        <f>'PPV Sensitivity'!F7</f>
        <v/>
      </c>
      <c r="D44">
        <f>IF(ISNUMBER(C44),C44-B44,"")</f>
        <v/>
      </c>
      <c r="E44" t="inlineStr">
        <is>
          <t>Definitions that control — L88</t>
        </is>
      </c>
    </row>
    <row r="45">
      <c r="A45" t="inlineStr">
        <is>
          <t>PPV for $1M of net revenue @ 5 bps ($)</t>
        </is>
      </c>
      <c r="B45" t="n">
        <v>2000000000</v>
      </c>
      <c r="C45">
        <f>'Scale to $1M'!B6</f>
        <v/>
      </c>
      <c r="D45">
        <f>IF(ISNUMBER(C45),C45-B45,"")</f>
        <v/>
      </c>
      <c r="E45" t="inlineStr">
        <is>
          <t>Definitions that control — L86 ($2.0B)</t>
        </is>
      </c>
    </row>
    <row r="46">
      <c r="A46" t="inlineStr">
        <is>
          <t>PPV for $1M of net revenue @ 10 bps ($)</t>
        </is>
      </c>
      <c r="B46" t="n">
        <v>1000000000</v>
      </c>
      <c r="C46">
        <f>'Scale to $1M'!C6</f>
        <v/>
      </c>
      <c r="D46">
        <f>IF(ISNUMBER(C46),C46-B46,"")</f>
        <v/>
      </c>
      <c r="E46" t="inlineStr">
        <is>
          <t>Definitions that control — L87 ($1.0B)</t>
        </is>
      </c>
    </row>
    <row r="47">
      <c r="A47" t="inlineStr">
        <is>
          <t>PPV for $1M of net revenue @ 25 bps ($)</t>
        </is>
      </c>
      <c r="B47" t="n">
        <v>400000000</v>
      </c>
      <c r="C47">
        <f>'Scale to $1M'!D6</f>
        <v/>
      </c>
      <c r="D47">
        <f>IF(ISNUMBER(C47),C47-B47,"")</f>
        <v/>
      </c>
      <c r="E47" t="inlineStr">
        <is>
          <t>Definitions that control — L88 ($400M)</t>
        </is>
      </c>
    </row>
    <row r="48">
      <c r="A48" t="inlineStr">
        <is>
          <t>Units for $1M of net revenue @ 5 bps</t>
        </is>
      </c>
      <c r="B48" t="n">
        <v>100596</v>
      </c>
      <c r="C48">
        <f>'Scale to $1M'!B7</f>
        <v/>
      </c>
      <c r="D48">
        <f>IF(ISNUMBER(C48),C48-B48,"")</f>
        <v/>
      </c>
      <c r="E48" t="inlineStr">
        <is>
          <t>Definitions that control — L86</t>
        </is>
      </c>
    </row>
    <row r="49">
      <c r="A49" t="inlineStr">
        <is>
          <t>Units for $1M of net revenue @ 10 bps</t>
        </is>
      </c>
      <c r="B49" t="n">
        <v>50298</v>
      </c>
      <c r="C49">
        <f>'Scale to $1M'!C7</f>
        <v/>
      </c>
      <c r="D49">
        <f>IF(ISNUMBER(C49),C49-B49,"")</f>
        <v/>
      </c>
      <c r="E49" t="inlineStr">
        <is>
          <t>Definitions that control — L87</t>
        </is>
      </c>
    </row>
    <row r="50">
      <c r="A50" t="inlineStr">
        <is>
          <t>Units for $1M of net revenue @ 25 bps</t>
        </is>
      </c>
      <c r="B50" t="n">
        <v>20119</v>
      </c>
      <c r="C50">
        <f>'Scale to $1M'!D7</f>
        <v/>
      </c>
      <c r="D50">
        <f>IF(ISNUMBER(C50),C50-B50,"")</f>
        <v/>
      </c>
      <c r="E50" t="inlineStr">
        <is>
          <t>Definitions that control — L88</t>
        </is>
      </c>
    </row>
    <row r="51">
      <c r="A51" t="inlineStr">
        <is>
          <t>260-unit assets for $1M @ 5 bps</t>
        </is>
      </c>
      <c r="B51" t="n">
        <v>387</v>
      </c>
      <c r="C51">
        <f>'Scale to $1M'!B8</f>
        <v/>
      </c>
      <c r="D51">
        <f>IF(ISNUMBER(C51),C51-B51,"")</f>
        <v/>
      </c>
      <c r="E51" t="inlineStr">
        <is>
          <t>Definitions that control — L86</t>
        </is>
      </c>
    </row>
    <row r="52">
      <c r="A52" t="inlineStr">
        <is>
          <t>260-unit assets for $1M @ 10 bps</t>
        </is>
      </c>
      <c r="B52" t="n">
        <v>194</v>
      </c>
      <c r="C52">
        <f>'Scale to $1M'!C8</f>
        <v/>
      </c>
      <c r="D52">
        <f>IF(ISNUMBER(C52),C52-B52,"")</f>
        <v/>
      </c>
      <c r="E52" t="inlineStr">
        <is>
          <t>Definitions that control — L87</t>
        </is>
      </c>
    </row>
    <row r="53">
      <c r="A53" t="inlineStr">
        <is>
          <t>260-unit assets for $1M @ 25 bps</t>
        </is>
      </c>
      <c r="B53" t="n">
        <v>78</v>
      </c>
      <c r="C53">
        <f>'Scale to $1M'!D8</f>
        <v/>
      </c>
      <c r="D53">
        <f>IF(ISNUMBER(C53),C53-B53,"")</f>
        <v/>
      </c>
      <c r="E53" t="inlineStr">
        <is>
          <t>Definitions that control — L88</t>
        </is>
      </c>
    </row>
    <row r="55">
      <c r="A55" t="inlineStr">
        <is>
          <t>Non-zero differences above are the synthesis's own display rounding — it prints $19,881 for $19,881.60, $2,585 for $2,584.61, $1.66 for $1.6568 and 100,596 for 100,595.53. They are shown rather than hidden. The synthesis itself writes '$1B–$2B' and '50K–101K' as approximations ('about', 'roughly').</t>
        </is>
      </c>
    </row>
    <row r="56">
      <c r="A56" t="inlineStr">
        <is>
          <t>Not modelled here: the retention and attrition stress test (Payment-engine underwriting › Retention and acquisition economics, L124–L153), including the 35%/15%, 60%/12% and 100%/15% cases and the 20.7 / 9.7 / 7.3 bps crossovers. Those figures are real and cited in the synthesis; this workbook's scope is PPV sensitivity, scale to target, and the pilot-fee build-up.</t>
        </is>
      </c>
    </row>
    <row r="57">
      <c r="A57" t="inlineStr">
        <is>
          <t>The synthesis labels its own take-rate range an underwriting sensitivity, not evidence: 'the net take is therefore an underwriting range, not evidence of realizable margin' (Remaining risks, L500–L503). Nothing in this workbook is a quote, a proposal, or a realized margin.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2026-09-28T17:09:05Z</dcterms:created>
  <dcterms:modified xmlns:dcterms="http://purl.org/dc/terms/" xmlns:xsi="http://www.w3.org/2001/XMLSchema-instance" xsi:type="dcterms:W3CDTF">2026-09-28T17:09:05Z</dcterms:modified>
</cp:coreProperties>
</file>